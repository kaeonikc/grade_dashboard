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sz val="11"/>
    </font>
    <font>
      <name val="Segoe U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name val="Segoe UI"/>
        <color rgb="00006100"/>
        <sz val="11"/>
      </font>
      <fill>
        <patternFill patternType="solid">
          <fgColor rgb="00C6EFCE"/>
          <bgColor rgb="00C6EFCE"/>
        </patternFill>
      </fill>
    </dxf>
    <dxf>
      <font>
        <name val="Segoe UI"/>
        <color rgb="009C0006"/>
        <sz val="11"/>
      </font>
      <fill>
        <patternFill patternType="solid">
          <fgColor rgb="00FFC7CE"/>
          <bgColor rgb="00FFC7CE"/>
        </patternFill>
      </fill>
    </dxf>
    <dxf>
      <font>
        <name val="Segoe UI"/>
        <color rgb="009C6500"/>
        <sz val="11"/>
      </font>
      <fill>
        <patternFill patternType="solid">
          <fgColor rgb="00FFEB9C"/>
          <bgColor rgb="00FFEB9C"/>
        </patternFill>
      </fill>
    </dxf>
    <dxf>
      <font>
        <name val="Segoe UI"/>
        <color rgb="00808000"/>
        <sz val="11"/>
      </font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14" customWidth="1" min="18" max="18"/>
  </cols>
  <sheetData>
    <row r="1" ht="75" customHeight="1">
      <c r="A1" s="1" t="inlineStr">
        <is>
          <t>Student ID</t>
        </is>
      </c>
      <c r="B1" s="1" t="inlineStr">
        <is>
          <t>Name</t>
        </is>
      </c>
      <c r="C1" s="2" t="inlineStr">
        <is>
          <t>22 Jun 2026</t>
        </is>
      </c>
      <c r="D1" s="2" t="inlineStr">
        <is>
          <t>29 Jun 2026</t>
        </is>
      </c>
      <c r="E1" s="2" t="inlineStr">
        <is>
          <t>6 Jul 2026</t>
        </is>
      </c>
      <c r="F1" s="2" t="inlineStr">
        <is>
          <t>13 Jul 2026</t>
        </is>
      </c>
      <c r="G1" s="2" t="inlineStr">
        <is>
          <t>20 Jul 2026</t>
        </is>
      </c>
      <c r="H1" s="2" t="inlineStr">
        <is>
          <t>27 Jul 2026</t>
        </is>
      </c>
      <c r="I1" s="2" t="inlineStr">
        <is>
          <t>10 Aug 2026</t>
        </is>
      </c>
      <c r="J1" s="2" t="inlineStr">
        <is>
          <t>17 Aug 2026</t>
        </is>
      </c>
      <c r="K1" s="2" t="inlineStr">
        <is>
          <t>24 Aug 2026</t>
        </is>
      </c>
      <c r="L1" s="2" t="inlineStr">
        <is>
          <t>31 Aug 2026</t>
        </is>
      </c>
      <c r="M1" s="2" t="inlineStr">
        <is>
          <t>7 Sep 2026</t>
        </is>
      </c>
      <c r="N1" s="2" t="inlineStr">
        <is>
          <t>14 Sep 2026</t>
        </is>
      </c>
      <c r="O1" s="2" t="inlineStr">
        <is>
          <t>21 Sep 2026</t>
        </is>
      </c>
      <c r="P1" s="2" t="inlineStr">
        <is>
          <t>28 Sep 2026</t>
        </is>
      </c>
      <c r="Q1" s="2" t="inlineStr">
        <is>
          <t>5 Oct 2026</t>
        </is>
      </c>
      <c r="R1" s="3" t="inlineStr">
        <is>
          <t>total (15pts)</t>
        </is>
      </c>
    </row>
    <row r="2" ht="20" customHeight="1">
      <c r="A2" s="4" t="inlineStr">
        <is>
          <t>69143302</t>
        </is>
      </c>
      <c r="B2" s="4" t="inlineStr">
        <is>
          <t>นางสาวธัญวรัตม์  ชัยทะนัน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3">
        <f>COUNTIF(C2:Q2, "P") + COUNTIF(C2:Q2, "L")*0.8 + COUNTIF(C2:Q2, "EA")</f>
        <v/>
      </c>
    </row>
    <row r="3" ht="20" customHeight="1">
      <c r="A3" s="4" t="inlineStr">
        <is>
          <t>69143303</t>
        </is>
      </c>
      <c r="B3" s="4" t="inlineStr">
        <is>
          <t>นางสาวสุปวีร์  ปันทิ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3">
        <f>COUNTIF(C3:Q3, "P") + COUNTIF(C3:Q3, "L")*0.8 + COUNTIF(C3:Q3, "EA")</f>
        <v/>
      </c>
    </row>
    <row r="4" ht="20" customHeight="1">
      <c r="A4" s="4" t="inlineStr">
        <is>
          <t>69143304</t>
        </is>
      </c>
      <c r="B4" s="4" t="inlineStr">
        <is>
          <t>นายฐิตากร  สุนะคำ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3">
        <f>COUNTIF(C4:Q4, "P") + COUNTIF(C4:Q4, "L")*0.8 + COUNTIF(C4:Q4, "EA")</f>
        <v/>
      </c>
    </row>
    <row r="5" ht="20" customHeight="1">
      <c r="A5" s="4" t="inlineStr">
        <is>
          <t>69143305</t>
        </is>
      </c>
      <c r="B5" s="4" t="inlineStr">
        <is>
          <t>นายณัฐวัศ  ก๋ายศ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3">
        <f>COUNTIF(C5:Q5, "P") + COUNTIF(C5:Q5, "L")*0.8 + COUNTIF(C5:Q5, "EA")</f>
        <v/>
      </c>
    </row>
    <row r="6" ht="20" customHeight="1">
      <c r="A6" s="4" t="inlineStr">
        <is>
          <t>69143306</t>
        </is>
      </c>
      <c r="B6" s="4" t="inlineStr">
        <is>
          <t>นายธนากานต์  ไขปัญญา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3">
        <f>COUNTIF(C6:Q6, "P") + COUNTIF(C6:Q6, "L")*0.8 + COUNTIF(C6:Q6, "EA")</f>
        <v/>
      </c>
    </row>
    <row r="7" ht="20" customHeight="1">
      <c r="A7" s="4" t="inlineStr">
        <is>
          <t>69143308</t>
        </is>
      </c>
      <c r="B7" s="4" t="inlineStr">
        <is>
          <t>นายบุรชัย  นงรัตน์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3">
        <f>COUNTIF(C7:Q7, "P") + COUNTIF(C7:Q7, "L")*0.8 + COUNTIF(C7:Q7, "EA")</f>
        <v/>
      </c>
    </row>
    <row r="8" ht="20" customHeight="1">
      <c r="A8" s="4" t="inlineStr">
        <is>
          <t>69143309</t>
        </is>
      </c>
      <c r="B8" s="4" t="inlineStr">
        <is>
          <t>นายพัชรพล  คุมา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3">
        <f>COUNTIF(C8:Q8, "P") + COUNTIF(C8:Q8, "L")*0.8 + COUNTIF(C8:Q8, "EA")</f>
        <v/>
      </c>
    </row>
    <row r="9" ht="20" customHeight="1">
      <c r="A9" s="4" t="inlineStr">
        <is>
          <t>69143312</t>
        </is>
      </c>
      <c r="B9" s="4" t="inlineStr">
        <is>
          <t>นายรัฐธรรมนูญ  เตมีศักดิ์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3">
        <f>COUNTIF(C9:Q9, "P") + COUNTIF(C9:Q9, "L")*0.8 + COUNTIF(C9:Q9, "EA")</f>
        <v/>
      </c>
    </row>
    <row r="10" ht="20" customHeight="1">
      <c r="A10" s="4" t="inlineStr">
        <is>
          <t>69143313</t>
        </is>
      </c>
      <c r="B10" s="4" t="inlineStr">
        <is>
          <t>นายวรากรณ์  คิดชัย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3">
        <f>COUNTIF(C10:Q10, "P") + COUNTIF(C10:Q10, "L")*0.8 + COUNTIF(C10:Q10, "EA")</f>
        <v/>
      </c>
    </row>
    <row r="11" ht="20" customHeight="1">
      <c r="A11" s="4" t="inlineStr">
        <is>
          <t>69143315</t>
        </is>
      </c>
      <c r="B11" s="4" t="inlineStr">
        <is>
          <t>นายเสฏฐวุฒิ  มณีเพชรมงคล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3">
        <f>COUNTIF(C11:Q11, "P") + COUNTIF(C11:Q11, "L")*0.8 + COUNTIF(C11:Q11, "EA")</f>
        <v/>
      </c>
    </row>
    <row r="12" ht="20" customHeight="1">
      <c r="A12" s="4" t="inlineStr">
        <is>
          <t>69143316</t>
        </is>
      </c>
      <c r="B12" s="4" t="inlineStr">
        <is>
          <t>นางสาวชณัญธิดา  ดำแดงดี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3">
        <f>COUNTIF(C12:Q12, "P") + COUNTIF(C12:Q12, "L")*0.8 + COUNTIF(C12:Q12, "EA")</f>
        <v/>
      </c>
    </row>
    <row r="13" ht="20" customHeight="1">
      <c r="A13" s="4" t="inlineStr">
        <is>
          <t>69143317</t>
        </is>
      </c>
      <c r="B13" s="4" t="inlineStr">
        <is>
          <t>นายกิตติชัย  แซ่ย้า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3">
        <f>COUNTIF(C13:Q13, "P") + COUNTIF(C13:Q13, "L")*0.8 + COUNTIF(C13:Q13, "EA")</f>
        <v/>
      </c>
    </row>
    <row r="14" ht="20" customHeight="1">
      <c r="A14" s="4" t="inlineStr">
        <is>
          <t>69143318</t>
        </is>
      </c>
      <c r="B14" s="4" t="inlineStr">
        <is>
          <t>นายเกียรติศักดิ์  คำมินทร์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3">
        <f>COUNTIF(C14:Q14, "P") + COUNTIF(C14:Q14, "L")*0.8 + COUNTIF(C14:Q14, "EA")</f>
        <v/>
      </c>
    </row>
    <row r="15" ht="20" customHeight="1">
      <c r="A15" s="4" t="inlineStr">
        <is>
          <t>69143320</t>
        </is>
      </c>
      <c r="B15" s="4" t="inlineStr">
        <is>
          <t>นายณัฐชนน  สุคะโต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3">
        <f>COUNTIF(C15:Q15, "P") + COUNTIF(C15:Q15, "L")*0.8 + COUNTIF(C15:Q15, "EA")</f>
        <v/>
      </c>
    </row>
    <row r="16" ht="20" customHeight="1">
      <c r="A16" s="4" t="inlineStr">
        <is>
          <t>69143324</t>
        </is>
      </c>
      <c r="B16" s="4" t="inlineStr">
        <is>
          <t>นางสาวกรรณิการ์  สุยะหมี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3">
        <f>COUNTIF(C16:Q16, "P") + COUNTIF(C16:Q16, "L")*0.8 + COUNTIF(C16:Q16, "EA")</f>
        <v/>
      </c>
    </row>
    <row r="17" ht="20" customHeight="1">
      <c r="A17" s="4" t="inlineStr">
        <is>
          <t>69143326</t>
        </is>
      </c>
      <c r="B17" s="4" t="inlineStr">
        <is>
          <t>นายคณานนท์  โพธินาม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3">
        <f>COUNTIF(C17:Q17, "P") + COUNTIF(C17:Q17, "L")*0.8 + COUNTIF(C17:Q17, "EA")</f>
        <v/>
      </c>
    </row>
    <row r="18" ht="20" customHeight="1">
      <c r="A18" s="4" t="inlineStr">
        <is>
          <t>69143330</t>
        </is>
      </c>
      <c r="B18" s="4" t="inlineStr">
        <is>
          <t>นายวรเมธ  ศศิสุวรรณ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3">
        <f>COUNTIF(C18:Q18, "P") + COUNTIF(C18:Q18, "L")*0.8 + COUNTIF(C18:Q18, "EA")</f>
        <v/>
      </c>
    </row>
    <row r="19" ht="20" customHeight="1">
      <c r="A19" s="4" t="inlineStr">
        <is>
          <t>69143331</t>
        </is>
      </c>
      <c r="B19" s="4" t="inlineStr">
        <is>
          <t>นายวัสณานฤวาส  สีอึ่ง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3">
        <f>COUNTIF(C19:Q19, "P") + COUNTIF(C19:Q19, "L")*0.8 + COUNTIF(C19:Q19, "EA")</f>
        <v/>
      </c>
    </row>
    <row r="20" ht="20" customHeight="1">
      <c r="A20" s="4" t="inlineStr">
        <is>
          <t>69143333</t>
        </is>
      </c>
      <c r="B20" s="4" t="inlineStr">
        <is>
          <t>นางสาวอัญติญา  ชื่นบาล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3">
        <f>COUNTIF(C20:Q20, "P") + COUNTIF(C20:Q20, "L")*0.8 + COUNTIF(C20:Q20, "EA")</f>
        <v/>
      </c>
    </row>
  </sheetData>
  <conditionalFormatting sqref="C2:Q20">
    <cfRule type="cellIs" priority="1" operator="equal" dxfId="0">
      <formula>"P"</formula>
    </cfRule>
    <cfRule type="cellIs" priority="2" operator="equal" dxfId="1">
      <formula>"A"</formula>
    </cfRule>
    <cfRule type="cellIs" priority="3" operator="equal" dxfId="2">
      <formula>"L"</formula>
    </cfRule>
    <cfRule type="cellIs" priority="4" operator="equal" dxfId="3">
      <formula>"EA"</formula>
    </cfRule>
  </conditionalFormatting>
  <dataValidations count="1">
    <dataValidation sqref="C2:Q20" showDropDown="0" showInputMessage="0" showErrorMessage="0" allowBlank="1" errorTitle="Invalid Entry" error="Your entry is not in the list (P, A, L, EA)" promptTitle="Select attendance" prompt="Please select from: P, A, L, EA" type="list">
      <formula1>"P,A,L,EA"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2026-06-24T07:58:44Z</dcterms:created>
  <dcterms:modified xmlns:dcterms="http://purl.org/dc/terms/" xmlns:xsi="http://www.w3.org/2001/XMLSchema-instance" xsi:type="dcterms:W3CDTF">2026-06-26T13:23:14Z</dcterms:modified>
</cp:coreProperties>
</file>