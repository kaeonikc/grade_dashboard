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sz val="11"/>
    </font>
    <font>
      <name val="Segoe U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Segoe UI"/>
        <color rgb="00006100"/>
        <sz val="11"/>
      </font>
      <fill>
        <patternFill patternType="solid">
          <fgColor rgb="00C6EFCE"/>
          <bgColor rgb="00C6EFCE"/>
        </patternFill>
      </fill>
    </dxf>
    <dxf>
      <font>
        <name val="Segoe UI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Segoe UI"/>
        <color rgb="009C6500"/>
        <sz val="11"/>
      </font>
      <fill>
        <patternFill patternType="solid">
          <fgColor rgb="00FFEB9C"/>
          <bgColor rgb="00FFEB9C"/>
        </patternFill>
      </fill>
    </dxf>
    <dxf>
      <font>
        <name val="Segoe UI"/>
        <color rgb="00808000"/>
        <sz val="11"/>
      </font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14" customWidth="1" min="18" max="18"/>
  </cols>
  <sheetData>
    <row r="1" ht="75" customHeight="1">
      <c r="A1" s="1" t="inlineStr">
        <is>
          <t>Student ID</t>
        </is>
      </c>
      <c r="B1" s="1" t="inlineStr">
        <is>
          <t>Name</t>
        </is>
      </c>
      <c r="C1" s="2" t="inlineStr">
        <is>
          <t>22 Jun 2026</t>
        </is>
      </c>
      <c r="D1" s="2" t="inlineStr">
        <is>
          <t>29 Jun 2026</t>
        </is>
      </c>
      <c r="E1" s="2" t="inlineStr">
        <is>
          <t>6 Jul 2026</t>
        </is>
      </c>
      <c r="F1" s="2" t="inlineStr">
        <is>
          <t>13 Jul 2026</t>
        </is>
      </c>
      <c r="G1" s="2" t="inlineStr">
        <is>
          <t>20 Jul 2026</t>
        </is>
      </c>
      <c r="H1" s="2" t="inlineStr">
        <is>
          <t>27 Jul 2026</t>
        </is>
      </c>
      <c r="I1" s="2" t="inlineStr">
        <is>
          <t>10 Aug 2026</t>
        </is>
      </c>
      <c r="J1" s="2" t="inlineStr">
        <is>
          <t>17 Aug 2026</t>
        </is>
      </c>
      <c r="K1" s="2" t="inlineStr">
        <is>
          <t>24 Aug 2026</t>
        </is>
      </c>
      <c r="L1" s="2" t="inlineStr">
        <is>
          <t>31 Aug 2026</t>
        </is>
      </c>
      <c r="M1" s="2" t="inlineStr">
        <is>
          <t>7 Sep 2026</t>
        </is>
      </c>
      <c r="N1" s="2" t="inlineStr">
        <is>
          <t>14 Sep 2026</t>
        </is>
      </c>
      <c r="O1" s="2" t="inlineStr">
        <is>
          <t>21 Sep 2026</t>
        </is>
      </c>
      <c r="P1" s="2" t="inlineStr">
        <is>
          <t>28 Sep 2026</t>
        </is>
      </c>
      <c r="Q1" s="2" t="inlineStr">
        <is>
          <t>5 Oct 2026</t>
        </is>
      </c>
      <c r="R1" s="3" t="inlineStr">
        <is>
          <t>total (15pts)</t>
        </is>
      </c>
    </row>
    <row r="2" ht="20" customHeight="1">
      <c r="A2" s="4" t="inlineStr">
        <is>
          <t>69143302</t>
        </is>
      </c>
      <c r="B2" s="4" t="inlineStr">
        <is>
          <t>นางสาวธัญวรัตม์  ชัยทะนัน</t>
        </is>
      </c>
      <c r="C2" s="5" t="n">
        <v/>
      </c>
      <c r="D2" s="5" t="n">
        <v/>
      </c>
      <c r="E2" s="5" t="n">
        <v/>
      </c>
      <c r="F2" s="5" t="n">
        <v/>
      </c>
      <c r="G2" s="5" t="n">
        <v/>
      </c>
      <c r="H2" s="5" t="n">
        <v/>
      </c>
      <c r="I2" s="5" t="n">
        <v/>
      </c>
      <c r="J2" s="5" t="n">
        <v/>
      </c>
      <c r="K2" s="5" t="n">
        <v/>
      </c>
      <c r="L2" s="5" t="n">
        <v/>
      </c>
      <c r="M2" s="5" t="n">
        <v/>
      </c>
      <c r="N2" s="5" t="n">
        <v/>
      </c>
      <c r="O2" s="5" t="n">
        <v/>
      </c>
      <c r="P2" s="5" t="n">
        <v/>
      </c>
      <c r="Q2" s="5" t="n">
        <v/>
      </c>
      <c r="R2" s="3">
        <f>COUNTIF(C2:Q2, "P") + COUNTIF(C2:Q2, "L")*0.8 + COUNTIF(C2:Q2, "X")</f>
        <v/>
      </c>
    </row>
    <row r="3" ht="20" customHeight="1">
      <c r="A3" s="4" t="inlineStr">
        <is>
          <t>69143303</t>
        </is>
      </c>
      <c r="B3" s="4" t="inlineStr">
        <is>
          <t>นางสาวสุปวีร์  ปันทิ</t>
        </is>
      </c>
      <c r="C3" s="5" t="n">
        <v/>
      </c>
      <c r="D3" s="5" t="n">
        <v/>
      </c>
      <c r="E3" s="5" t="n">
        <v/>
      </c>
      <c r="F3" s="5" t="n">
        <v/>
      </c>
      <c r="G3" s="5" t="n">
        <v/>
      </c>
      <c r="H3" s="5" t="n">
        <v/>
      </c>
      <c r="I3" s="5" t="n">
        <v/>
      </c>
      <c r="J3" s="5" t="n">
        <v/>
      </c>
      <c r="K3" s="5" t="n">
        <v/>
      </c>
      <c r="L3" s="5" t="n">
        <v/>
      </c>
      <c r="M3" s="5" t="n">
        <v/>
      </c>
      <c r="N3" s="5" t="n">
        <v/>
      </c>
      <c r="O3" s="5" t="n">
        <v/>
      </c>
      <c r="P3" s="5" t="n">
        <v/>
      </c>
      <c r="Q3" s="5" t="n">
        <v/>
      </c>
      <c r="R3" s="3">
        <f>COUNTIF(C3:Q3, "P") + COUNTIF(C3:Q3, "L")*0.8 + COUNTIF(C3:Q3, "X")</f>
        <v/>
      </c>
    </row>
    <row r="4" ht="20" customHeight="1">
      <c r="A4" s="4" t="inlineStr">
        <is>
          <t>69143304</t>
        </is>
      </c>
      <c r="B4" s="4" t="inlineStr">
        <is>
          <t>นายฐิตากร  สุนะคำ</t>
        </is>
      </c>
      <c r="C4" s="5" t="n">
        <v/>
      </c>
      <c r="D4" s="5" t="n">
        <v/>
      </c>
      <c r="E4" s="5" t="n">
        <v/>
      </c>
      <c r="F4" s="5" t="n">
        <v/>
      </c>
      <c r="G4" s="5" t="n">
        <v/>
      </c>
      <c r="H4" s="5" t="n">
        <v/>
      </c>
      <c r="I4" s="5" t="n">
        <v/>
      </c>
      <c r="J4" s="5" t="n">
        <v/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n">
        <v/>
      </c>
      <c r="R4" s="3">
        <f>COUNTIF(C4:Q4, "P") + COUNTIF(C4:Q4, "L")*0.8 + COUNTIF(C4:Q4, "X")</f>
        <v/>
      </c>
    </row>
    <row r="5" ht="20" customHeight="1">
      <c r="A5" s="4" t="inlineStr">
        <is>
          <t>69143305</t>
        </is>
      </c>
      <c r="B5" s="4" t="inlineStr">
        <is>
          <t>นายณัฐวัศ  ก๋ายศ</t>
        </is>
      </c>
      <c r="C5" s="5" t="n">
        <v/>
      </c>
      <c r="D5" s="5" t="n">
        <v/>
      </c>
      <c r="E5" s="5" t="n">
        <v/>
      </c>
      <c r="F5" s="5" t="n">
        <v/>
      </c>
      <c r="G5" s="5" t="n">
        <v/>
      </c>
      <c r="H5" s="5" t="n">
        <v/>
      </c>
      <c r="I5" s="5" t="n">
        <v/>
      </c>
      <c r="J5" s="5" t="n">
        <v/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n">
        <v/>
      </c>
      <c r="R5" s="3">
        <f>COUNTIF(C5:Q5, "P") + COUNTIF(C5:Q5, "L")*0.8 + COUNTIF(C5:Q5, "X")</f>
        <v/>
      </c>
    </row>
    <row r="6" ht="20" customHeight="1">
      <c r="A6" s="4" t="inlineStr">
        <is>
          <t>69143306</t>
        </is>
      </c>
      <c r="B6" s="4" t="inlineStr">
        <is>
          <t>นายธนากานต์  ไขปัญญา</t>
        </is>
      </c>
      <c r="C6" s="5" t="n">
        <v/>
      </c>
      <c r="D6" s="5" t="n">
        <v/>
      </c>
      <c r="E6" s="5" t="n">
        <v/>
      </c>
      <c r="F6" s="5" t="n">
        <v/>
      </c>
      <c r="G6" s="5" t="n">
        <v/>
      </c>
      <c r="H6" s="5" t="n">
        <v/>
      </c>
      <c r="I6" s="5" t="n">
        <v/>
      </c>
      <c r="J6" s="5" t="n">
        <v/>
      </c>
      <c r="K6" s="5" t="n">
        <v/>
      </c>
      <c r="L6" s="5" t="n">
        <v/>
      </c>
      <c r="M6" s="5" t="n">
        <v/>
      </c>
      <c r="N6" s="5" t="n">
        <v/>
      </c>
      <c r="O6" s="5" t="n">
        <v/>
      </c>
      <c r="P6" s="5" t="n">
        <v/>
      </c>
      <c r="Q6" s="5" t="n">
        <v/>
      </c>
      <c r="R6" s="3">
        <f>COUNTIF(C6:Q6, "P") + COUNTIF(C6:Q6, "L")*0.8 + COUNTIF(C6:Q6, "X")</f>
        <v/>
      </c>
    </row>
    <row r="7" ht="20" customHeight="1">
      <c r="A7" s="4" t="inlineStr">
        <is>
          <t>69143308</t>
        </is>
      </c>
      <c r="B7" s="4" t="inlineStr">
        <is>
          <t>นายบุรชัย  นงรัตน์</t>
        </is>
      </c>
      <c r="C7" s="5" t="n">
        <v/>
      </c>
      <c r="D7" s="5" t="n">
        <v/>
      </c>
      <c r="E7" s="5" t="n">
        <v/>
      </c>
      <c r="F7" s="5" t="n">
        <v/>
      </c>
      <c r="G7" s="5" t="n">
        <v/>
      </c>
      <c r="H7" s="5" t="n">
        <v/>
      </c>
      <c r="I7" s="5" t="n">
        <v/>
      </c>
      <c r="J7" s="5" t="n">
        <v/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n">
        <v/>
      </c>
      <c r="R7" s="3">
        <f>COUNTIF(C7:Q7, "P") + COUNTIF(C7:Q7, "L")*0.8 + COUNTIF(C7:Q7, "X")</f>
        <v/>
      </c>
    </row>
    <row r="8" ht="20" customHeight="1">
      <c r="A8" s="4" t="inlineStr">
        <is>
          <t>69143309</t>
        </is>
      </c>
      <c r="B8" s="4" t="inlineStr">
        <is>
          <t>นายพัชรพล  คุมา</t>
        </is>
      </c>
      <c r="C8" s="5" t="n">
        <v/>
      </c>
      <c r="D8" s="5" t="n">
        <v/>
      </c>
      <c r="E8" s="5" t="n">
        <v/>
      </c>
      <c r="F8" s="5" t="n">
        <v/>
      </c>
      <c r="G8" s="5" t="n">
        <v/>
      </c>
      <c r="H8" s="5" t="n">
        <v/>
      </c>
      <c r="I8" s="5" t="n">
        <v/>
      </c>
      <c r="J8" s="5" t="n">
        <v/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n">
        <v/>
      </c>
      <c r="R8" s="3">
        <f>COUNTIF(C8:Q8, "P") + COUNTIF(C8:Q8, "L")*0.8 + COUNTIF(C8:Q8, "X")</f>
        <v/>
      </c>
    </row>
    <row r="9" ht="20" customHeight="1">
      <c r="A9" s="4" t="inlineStr">
        <is>
          <t>69143312</t>
        </is>
      </c>
      <c r="B9" s="4" t="inlineStr">
        <is>
          <t>นายรัฐธรรมนูญ  เตมีศักดิ์</t>
        </is>
      </c>
      <c r="C9" s="5" t="n">
        <v/>
      </c>
      <c r="D9" s="5" t="n">
        <v/>
      </c>
      <c r="E9" s="5" t="n">
        <v/>
      </c>
      <c r="F9" s="5" t="n">
        <v/>
      </c>
      <c r="G9" s="5" t="n">
        <v/>
      </c>
      <c r="H9" s="5" t="n">
        <v/>
      </c>
      <c r="I9" s="5" t="n">
        <v/>
      </c>
      <c r="J9" s="5" t="n">
        <v/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n">
        <v/>
      </c>
      <c r="R9" s="3">
        <f>COUNTIF(C9:Q9, "P") + COUNTIF(C9:Q9, "L")*0.8 + COUNTIF(C9:Q9, "X")</f>
        <v/>
      </c>
    </row>
    <row r="10" ht="20" customHeight="1">
      <c r="A10" s="4" t="inlineStr">
        <is>
          <t>69143313</t>
        </is>
      </c>
      <c r="B10" s="4" t="inlineStr">
        <is>
          <t>นายวรากรณ์  คิดชัย</t>
        </is>
      </c>
      <c r="C10" s="5" t="n">
        <v/>
      </c>
      <c r="D10" s="5" t="n">
        <v/>
      </c>
      <c r="E10" s="5" t="n">
        <v/>
      </c>
      <c r="F10" s="5" t="n">
        <v/>
      </c>
      <c r="G10" s="5" t="n">
        <v/>
      </c>
      <c r="H10" s="5" t="n">
        <v/>
      </c>
      <c r="I10" s="5" t="n">
        <v/>
      </c>
      <c r="J10" s="5" t="n">
        <v/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n">
        <v/>
      </c>
      <c r="R10" s="3">
        <f>COUNTIF(C10:Q10, "P") + COUNTIF(C10:Q10, "L")*0.8 + COUNTIF(C10:Q10, "X")</f>
        <v/>
      </c>
    </row>
    <row r="11" ht="20" customHeight="1">
      <c r="A11" s="4" t="inlineStr">
        <is>
          <t>69143315</t>
        </is>
      </c>
      <c r="B11" s="4" t="inlineStr">
        <is>
          <t>นายเสฏฐวุฒิ  มณีเพชรมงคล</t>
        </is>
      </c>
      <c r="C11" s="5" t="n">
        <v/>
      </c>
      <c r="D11" s="5" t="n">
        <v/>
      </c>
      <c r="E11" s="5" t="n">
        <v/>
      </c>
      <c r="F11" s="5" t="n">
        <v/>
      </c>
      <c r="G11" s="5" t="n">
        <v/>
      </c>
      <c r="H11" s="5" t="n">
        <v/>
      </c>
      <c r="I11" s="5" t="n">
        <v/>
      </c>
      <c r="J11" s="5" t="n">
        <v/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n">
        <v/>
      </c>
      <c r="R11" s="3">
        <f>COUNTIF(C11:Q11, "P") + COUNTIF(C11:Q11, "L")*0.8 + COUNTIF(C11:Q11, "X")</f>
        <v/>
      </c>
    </row>
    <row r="12" ht="20" customHeight="1">
      <c r="A12" s="4" t="inlineStr">
        <is>
          <t>69143316</t>
        </is>
      </c>
      <c r="B12" s="4" t="inlineStr">
        <is>
          <t>นางสาวชณัญธิดา  ดำแดงดี</t>
        </is>
      </c>
      <c r="C12" s="5" t="n">
        <v/>
      </c>
      <c r="D12" s="5" t="n">
        <v/>
      </c>
      <c r="E12" s="5" t="n">
        <v/>
      </c>
      <c r="F12" s="5" t="n">
        <v/>
      </c>
      <c r="G12" s="5" t="n">
        <v/>
      </c>
      <c r="H12" s="5" t="n">
        <v/>
      </c>
      <c r="I12" s="5" t="n">
        <v/>
      </c>
      <c r="J12" s="5" t="n">
        <v/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n">
        <v/>
      </c>
      <c r="R12" s="3">
        <f>COUNTIF(C12:Q12, "P") + COUNTIF(C12:Q12, "L")*0.8 + COUNTIF(C12:Q12, "X")</f>
        <v/>
      </c>
    </row>
    <row r="13" ht="20" customHeight="1">
      <c r="A13" s="4" t="inlineStr">
        <is>
          <t>69143317</t>
        </is>
      </c>
      <c r="B13" s="4" t="inlineStr">
        <is>
          <t>นายกิตติชัย  แซ่ย้า</t>
        </is>
      </c>
      <c r="C13" s="5" t="n">
        <v/>
      </c>
      <c r="D13" s="5" t="n">
        <v/>
      </c>
      <c r="E13" s="5" t="n">
        <v/>
      </c>
      <c r="F13" s="5" t="n">
        <v/>
      </c>
      <c r="G13" s="5" t="n">
        <v/>
      </c>
      <c r="H13" s="5" t="n">
        <v/>
      </c>
      <c r="I13" s="5" t="n">
        <v/>
      </c>
      <c r="J13" s="5" t="n">
        <v/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n">
        <v/>
      </c>
      <c r="R13" s="3">
        <f>COUNTIF(C13:Q13, "P") + COUNTIF(C13:Q13, "L")*0.8 + COUNTIF(C13:Q13, "X")</f>
        <v/>
      </c>
    </row>
    <row r="14" ht="20" customHeight="1">
      <c r="A14" s="4" t="inlineStr">
        <is>
          <t>69143318</t>
        </is>
      </c>
      <c r="B14" s="4" t="inlineStr">
        <is>
          <t>นายเกียรติศักดิ์  คำมินทร์</t>
        </is>
      </c>
      <c r="C14" s="5" t="n">
        <v/>
      </c>
      <c r="D14" s="5" t="n">
        <v/>
      </c>
      <c r="E14" s="5" t="n">
        <v/>
      </c>
      <c r="F14" s="5" t="n">
        <v/>
      </c>
      <c r="G14" s="5" t="n">
        <v/>
      </c>
      <c r="H14" s="5" t="n">
        <v/>
      </c>
      <c r="I14" s="5" t="n">
        <v/>
      </c>
      <c r="J14" s="5" t="n">
        <v/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n">
        <v/>
      </c>
      <c r="R14" s="3">
        <f>COUNTIF(C14:Q14, "P") + COUNTIF(C14:Q14, "L")*0.8 + COUNTIF(C14:Q14, "X")</f>
        <v/>
      </c>
    </row>
    <row r="15" ht="20" customHeight="1">
      <c r="A15" s="4" t="inlineStr">
        <is>
          <t>69143320</t>
        </is>
      </c>
      <c r="B15" s="4" t="inlineStr">
        <is>
          <t>นายณัฐชนน  สุคะโต</t>
        </is>
      </c>
      <c r="C15" s="5" t="n">
        <v/>
      </c>
      <c r="D15" s="5" t="n">
        <v/>
      </c>
      <c r="E15" s="5" t="n">
        <v/>
      </c>
      <c r="F15" s="5" t="n">
        <v/>
      </c>
      <c r="G15" s="5" t="n">
        <v/>
      </c>
      <c r="H15" s="5" t="n">
        <v/>
      </c>
      <c r="I15" s="5" t="n">
        <v/>
      </c>
      <c r="J15" s="5" t="n">
        <v/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n">
        <v/>
      </c>
      <c r="R15" s="3">
        <f>COUNTIF(C15:Q15, "P") + COUNTIF(C15:Q15, "L")*0.8 + COUNTIF(C15:Q15, "X")</f>
        <v/>
      </c>
    </row>
    <row r="16" ht="20" customHeight="1">
      <c r="A16" s="4" t="inlineStr">
        <is>
          <t>69143324</t>
        </is>
      </c>
      <c r="B16" s="4" t="inlineStr">
        <is>
          <t>นางสาวกรรณิการ์  สุยะหมี</t>
        </is>
      </c>
      <c r="C16" s="5" t="n">
        <v/>
      </c>
      <c r="D16" s="5" t="n">
        <v/>
      </c>
      <c r="E16" s="5" t="n">
        <v/>
      </c>
      <c r="F16" s="5" t="n">
        <v/>
      </c>
      <c r="G16" s="5" t="n">
        <v/>
      </c>
      <c r="H16" s="5" t="n">
        <v/>
      </c>
      <c r="I16" s="5" t="n">
        <v/>
      </c>
      <c r="J16" s="5" t="n">
        <v/>
      </c>
      <c r="K16" s="5" t="n">
        <v/>
      </c>
      <c r="L16" s="5" t="n">
        <v/>
      </c>
      <c r="M16" s="5" t="n">
        <v/>
      </c>
      <c r="N16" s="5" t="n">
        <v/>
      </c>
      <c r="O16" s="5" t="n">
        <v/>
      </c>
      <c r="P16" s="5" t="n">
        <v/>
      </c>
      <c r="Q16" s="5" t="n">
        <v/>
      </c>
      <c r="R16" s="3">
        <f>COUNTIF(C16:Q16, "P") + COUNTIF(C16:Q16, "L")*0.8 + COUNTIF(C16:Q16, "X")</f>
        <v/>
      </c>
    </row>
    <row r="17" ht="20" customHeight="1">
      <c r="A17" s="4" t="inlineStr">
        <is>
          <t>69143326</t>
        </is>
      </c>
      <c r="B17" s="4" t="inlineStr">
        <is>
          <t>นายคณานนท์  โพธินาม</t>
        </is>
      </c>
      <c r="C17" s="5" t="n">
        <v/>
      </c>
      <c r="D17" s="5" t="n">
        <v/>
      </c>
      <c r="E17" s="5" t="n">
        <v/>
      </c>
      <c r="F17" s="5" t="n">
        <v/>
      </c>
      <c r="G17" s="5" t="n">
        <v/>
      </c>
      <c r="H17" s="5" t="n">
        <v/>
      </c>
      <c r="I17" s="5" t="n">
        <v/>
      </c>
      <c r="J17" s="5" t="n">
        <v/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n">
        <v/>
      </c>
      <c r="R17" s="3">
        <f>COUNTIF(C17:Q17, "P") + COUNTIF(C17:Q17, "L")*0.8 + COUNTIF(C17:Q17, "X")</f>
        <v/>
      </c>
    </row>
    <row r="18" ht="20" customHeight="1">
      <c r="A18" s="4" t="inlineStr">
        <is>
          <t>69143330</t>
        </is>
      </c>
      <c r="B18" s="4" t="inlineStr">
        <is>
          <t>นายวรเมธ  ศศิสุวรรณ</t>
        </is>
      </c>
      <c r="C18" s="5" t="n">
        <v/>
      </c>
      <c r="D18" s="5" t="n">
        <v/>
      </c>
      <c r="E18" s="5" t="n">
        <v/>
      </c>
      <c r="F18" s="5" t="n">
        <v/>
      </c>
      <c r="G18" s="5" t="n">
        <v/>
      </c>
      <c r="H18" s="5" t="n">
        <v/>
      </c>
      <c r="I18" s="5" t="n">
        <v/>
      </c>
      <c r="J18" s="5" t="n">
        <v/>
      </c>
      <c r="K18" s="5" t="n">
        <v/>
      </c>
      <c r="L18" s="5" t="n">
        <v/>
      </c>
      <c r="M18" s="5" t="n">
        <v/>
      </c>
      <c r="N18" s="5" t="n">
        <v/>
      </c>
      <c r="O18" s="5" t="n">
        <v/>
      </c>
      <c r="P18" s="5" t="n">
        <v/>
      </c>
      <c r="Q18" s="5" t="n">
        <v/>
      </c>
      <c r="R18" s="3">
        <f>COUNTIF(C18:Q18, "P") + COUNTIF(C18:Q18, "L")*0.8 + COUNTIF(C18:Q18, "X")</f>
        <v/>
      </c>
    </row>
    <row r="19" ht="20" customHeight="1">
      <c r="A19" s="4" t="inlineStr">
        <is>
          <t>69143331</t>
        </is>
      </c>
      <c r="B19" s="4" t="inlineStr">
        <is>
          <t>นายวัสณานฤวาส  สีอึ่ง</t>
        </is>
      </c>
      <c r="C19" s="5" t="n">
        <v/>
      </c>
      <c r="D19" s="5" t="n">
        <v/>
      </c>
      <c r="E19" s="5" t="n">
        <v/>
      </c>
      <c r="F19" s="5" t="n">
        <v/>
      </c>
      <c r="G19" s="5" t="n">
        <v/>
      </c>
      <c r="H19" s="5" t="n">
        <v/>
      </c>
      <c r="I19" s="5" t="n">
        <v/>
      </c>
      <c r="J19" s="5" t="n">
        <v/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n">
        <v/>
      </c>
      <c r="R19" s="3">
        <f>COUNTIF(C19:Q19, "P") + COUNTIF(C19:Q19, "L")*0.8 + COUNTIF(C19:Q19, "X")</f>
        <v/>
      </c>
    </row>
    <row r="20" ht="20" customHeight="1">
      <c r="A20" s="4" t="inlineStr">
        <is>
          <t>69143333</t>
        </is>
      </c>
      <c r="B20" s="4" t="inlineStr">
        <is>
          <t>นางสาวอัญติญา  ชื่นบาล</t>
        </is>
      </c>
      <c r="C20" s="5" t="n">
        <v/>
      </c>
      <c r="D20" s="5" t="n">
        <v/>
      </c>
      <c r="E20" s="5" t="n">
        <v/>
      </c>
      <c r="F20" s="5" t="n">
        <v/>
      </c>
      <c r="G20" s="5" t="n">
        <v/>
      </c>
      <c r="H20" s="5" t="n">
        <v/>
      </c>
      <c r="I20" s="5" t="n">
        <v/>
      </c>
      <c r="J20" s="5" t="n">
        <v/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n">
        <v/>
      </c>
      <c r="R20" s="3">
        <f>COUNTIF(C20:Q20, "P") + COUNTIF(C20:Q20, "L")*0.8 + COUNTIF(C20:Q20, "X")</f>
        <v/>
      </c>
    </row>
  </sheetData>
  <conditionalFormatting sqref="C2:Q20">
    <cfRule type="cellIs" priority="1" operator="equal" dxfId="0">
      <formula>"P"</formula>
    </cfRule>
    <cfRule type="cellIs" priority="2" operator="equal" dxfId="1">
      <formula>"A"</formula>
    </cfRule>
    <cfRule type="cellIs" priority="3" operator="equal" dxfId="2">
      <formula>"L"</formula>
    </cfRule>
    <cfRule type="cellIs" priority="4" operator="equal" dxfId="3">
      <formula>"X"</formula>
    </cfRule>
  </conditionalFormatting>
  <dataValidations count="1">
    <dataValidation sqref="C2:Q20" showDropDown="0" showInputMessage="0" showErrorMessage="0" allowBlank="1" errorTitle="Invalid Entry" error="Your entry is not in the list (P, A, L, X)" promptTitle="Select attendance" prompt="Please select from: P, A, L, X" type="list">
      <formula1>"P,A,L,X"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2026-07-16T18:24:56Z</dcterms:created>
  <dcterms:modified xmlns:dcterms="http://purl.org/dc/terms/" xmlns:xsi="http://www.w3.org/2001/XMLSchema-instance" xsi:type="dcterms:W3CDTF">2026-07-16T18:24:56Z</dcterms:modified>
</cp:coreProperties>
</file>